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52fed0fad74f36a9/Public/Python/ganttpy/"/>
    </mc:Choice>
  </mc:AlternateContent>
  <xr:revisionPtr revIDLastSave="964" documentId="13_ncr:1_{6648307E-35CB-4F4F-BE1B-0A528232044C}" xr6:coauthVersionLast="47" xr6:coauthVersionMax="47" xr10:uidLastSave="{DB131D79-8DF9-4611-B309-F50AFDBCA599}"/>
  <bookViews>
    <workbookView xWindow="41145" yWindow="255" windowWidth="25230" windowHeight="12825" tabRatio="500" firstSheet="1" activeTab="6" xr2:uid="{00000000-000D-0000-FFFF-FFFF00000000}"/>
  </bookViews>
  <sheets>
    <sheet name="Project_BaseData" sheetId="1" r:id="rId1"/>
    <sheet name="Project_Progress" sheetId="5" r:id="rId2"/>
    <sheet name="Dashboard" sheetId="4" r:id="rId3"/>
    <sheet name="Gantt_Chart" sheetId="3" r:id="rId4"/>
    <sheet name="Pivot" sheetId="6" r:id="rId5"/>
    <sheet name="HandShake" sheetId="7" r:id="rId6"/>
    <sheet name="DB_Pivot" sheetId="8" r:id="rId7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1" i="5" l="1"/>
  <c r="C3" i="1"/>
  <c r="L13" i="5" l="1"/>
  <c r="L14" i="5"/>
  <c r="L15" i="5"/>
  <c r="L12" i="5"/>
  <c r="L11" i="5"/>
  <c r="H13" i="5"/>
  <c r="H14" i="5" s="1"/>
  <c r="H15" i="5" s="1"/>
</calcChain>
</file>

<file path=xl/sharedStrings.xml><?xml version="1.0" encoding="utf-8"?>
<sst xmlns="http://schemas.openxmlformats.org/spreadsheetml/2006/main" count="309" uniqueCount="140">
  <si>
    <t>Name</t>
  </si>
  <si>
    <t>NSG</t>
  </si>
  <si>
    <t>Item</t>
  </si>
  <si>
    <t>Comments</t>
  </si>
  <si>
    <t>Project</t>
  </si>
  <si>
    <t>Internal</t>
  </si>
  <si>
    <t>Interface</t>
  </si>
  <si>
    <t>Duration Planned</t>
  </si>
  <si>
    <t>FOX Riser Hangoff Design</t>
  </si>
  <si>
    <t>Task</t>
  </si>
  <si>
    <t>Dependencies</t>
  </si>
  <si>
    <t>Start</t>
  </si>
  <si>
    <t>Duration [Weeks]</t>
  </si>
  <si>
    <t>CTR.2022.418.RA</t>
  </si>
  <si>
    <t>OC Subsea TieBack</t>
  </si>
  <si>
    <t>Fox  New Balcony Eng Design</t>
  </si>
  <si>
    <t>Fox  New Balcony Const. Procedure</t>
  </si>
  <si>
    <t>Services</t>
  </si>
  <si>
    <t>Vendor Name</t>
  </si>
  <si>
    <t>Total Cost [USD]</t>
  </si>
  <si>
    <t>Forecast Final Spend [USD]</t>
  </si>
  <si>
    <t>Project Cost</t>
  </si>
  <si>
    <t>Fox BoD &amp; Data Gathering</t>
  </si>
  <si>
    <t>Fox  New Balcony Drawings</t>
  </si>
  <si>
    <t>Fox  Topside Reinforced Drawings</t>
  </si>
  <si>
    <t>Region</t>
  </si>
  <si>
    <t>TEGI</t>
  </si>
  <si>
    <t>TEdB</t>
  </si>
  <si>
    <t>Operations</t>
  </si>
  <si>
    <t>Projects</t>
  </si>
  <si>
    <t>Drilling</t>
  </si>
  <si>
    <t>Organization</t>
  </si>
  <si>
    <t>LIVE</t>
  </si>
  <si>
    <t>Status</t>
  </si>
  <si>
    <t>New</t>
  </si>
  <si>
    <t>Delete</t>
  </si>
  <si>
    <t>Contact email</t>
  </si>
  <si>
    <t>Edit</t>
  </si>
  <si>
    <t>Project General</t>
  </si>
  <si>
    <t>Region:</t>
  </si>
  <si>
    <t>Organization:</t>
  </si>
  <si>
    <t>Week:</t>
  </si>
  <si>
    <t>Name:</t>
  </si>
  <si>
    <t>Vendor:</t>
  </si>
  <si>
    <t>Cost To Date</t>
  </si>
  <si>
    <t>Scope</t>
  </si>
  <si>
    <t>Scope:</t>
  </si>
  <si>
    <t>Forecast Duration [Weeks]</t>
  </si>
  <si>
    <t>Actual Progress [%]</t>
  </si>
  <si>
    <t>Planned / Actual Start</t>
  </si>
  <si>
    <t>Invoiced to date
[USD]</t>
  </si>
  <si>
    <t>Planned Resource [Hours]</t>
  </si>
  <si>
    <t>Hours Consumed [Hours]</t>
  </si>
  <si>
    <t>Forecast Final Hours [Hours]</t>
  </si>
  <si>
    <t>Average Resource Rate [USD/hr]</t>
  </si>
  <si>
    <t>Payment [LumpSum/ Reimbursable/ Package]</t>
  </si>
  <si>
    <t>Status [LIVE/ PENDING/ DELIVERED/ HOLD/ CANCEL]</t>
  </si>
  <si>
    <t>Critical Payment Milestone</t>
  </si>
  <si>
    <t>PO / Universal Reference Number</t>
  </si>
  <si>
    <t>CTR/ Quotation/ Suppller ID</t>
  </si>
  <si>
    <t>Project Details</t>
  </si>
  <si>
    <t>Progress To Date</t>
  </si>
  <si>
    <t>Wnumber_Year</t>
  </si>
  <si>
    <t>Recur Every</t>
  </si>
  <si>
    <t>Progress Report Recurring Event</t>
  </si>
  <si>
    <t>Critical Project Milestone</t>
  </si>
  <si>
    <t>Milestone ID</t>
  </si>
  <si>
    <t>Milestone Date</t>
  </si>
  <si>
    <t>Project Budget</t>
  </si>
  <si>
    <t>Payment ID</t>
  </si>
  <si>
    <t>Payment Date</t>
  </si>
  <si>
    <t>Pattern [Week/Month/Year]</t>
  </si>
  <si>
    <t>Day</t>
  </si>
  <si>
    <t>SQL Header</t>
  </si>
  <si>
    <t>Variable Type</t>
  </si>
  <si>
    <t>Asset</t>
  </si>
  <si>
    <t>text</t>
  </si>
  <si>
    <t>Dependency_Internal</t>
  </si>
  <si>
    <t>Dependency_Interface</t>
  </si>
  <si>
    <t>Start_Planned</t>
  </si>
  <si>
    <t>timestamp</t>
  </si>
  <si>
    <t>Duration_Planned</t>
  </si>
  <si>
    <t>decimal</t>
  </si>
  <si>
    <t>Deadline_ID</t>
  </si>
  <si>
    <t>Deadline_Date</t>
  </si>
  <si>
    <t>Vendor</t>
  </si>
  <si>
    <t>CTR</t>
  </si>
  <si>
    <t>PO</t>
  </si>
  <si>
    <t>Vendor_Email</t>
  </si>
  <si>
    <t>Cost_Planned</t>
  </si>
  <si>
    <t>Budget_Planned</t>
  </si>
  <si>
    <t>ManHours_Planned</t>
  </si>
  <si>
    <t>Average_Rate</t>
  </si>
  <si>
    <t>Project_Status</t>
  </si>
  <si>
    <t>Payment_Type</t>
  </si>
  <si>
    <t>Payment_ID</t>
  </si>
  <si>
    <t>Payment_Date</t>
  </si>
  <si>
    <t>Recur_Period</t>
  </si>
  <si>
    <t>Recur_Day</t>
  </si>
  <si>
    <t>Start_Actual</t>
  </si>
  <si>
    <t>Duration_Actual</t>
  </si>
  <si>
    <t>Progress_Actual</t>
  </si>
  <si>
    <t>Invoice_ToDate</t>
  </si>
  <si>
    <t>ManHour_Forecast</t>
  </si>
  <si>
    <t>Invoice_Forecast</t>
  </si>
  <si>
    <t>ManHour_Actual</t>
  </si>
  <si>
    <t>Project_BaseData</t>
  </si>
  <si>
    <t>Project_Progress</t>
  </si>
  <si>
    <t>Sheet Name</t>
  </si>
  <si>
    <t>Sheet Header</t>
  </si>
  <si>
    <t>Missing Data</t>
  </si>
  <si>
    <t>forward fill</t>
  </si>
  <si>
    <t>NTR</t>
  </si>
  <si>
    <t>Recur_Frequency</t>
  </si>
  <si>
    <t>Balcony Fab Drawings</t>
  </si>
  <si>
    <t>Topside Fab Drawings</t>
  </si>
  <si>
    <t>Fox Fab Procedure</t>
  </si>
  <si>
    <t>svortega@trident-energy.com</t>
  </si>
  <si>
    <t>LumpSum</t>
  </si>
  <si>
    <t>AFD reports final approval</t>
  </si>
  <si>
    <t>AFC final approval</t>
  </si>
  <si>
    <t>Week</t>
  </si>
  <si>
    <t>Friday</t>
  </si>
  <si>
    <t>xxx-yyy-zzz</t>
  </si>
  <si>
    <t>svortega</t>
  </si>
  <si>
    <t>email</t>
  </si>
  <si>
    <t>Company Responsible</t>
  </si>
  <si>
    <t>DB Status</t>
  </si>
  <si>
    <t>Status:</t>
  </si>
  <si>
    <t>Project Status</t>
  </si>
  <si>
    <t>PENDING</t>
  </si>
  <si>
    <t>DELIVERED</t>
  </si>
  <si>
    <t>CANCEL</t>
  </si>
  <si>
    <t>ALL</t>
  </si>
  <si>
    <t>DB Directory</t>
  </si>
  <si>
    <t>DB ID</t>
  </si>
  <si>
    <t>PM_ID</t>
  </si>
  <si>
    <t>iloyola</t>
  </si>
  <si>
    <t>Company</t>
  </si>
  <si>
    <t>Company Responsible: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</si>
</sst>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8"/>
      <name val="Calibri"/>
      <family val="2"/>
      <scheme val="minor"/>
    </font>
    <font>
      <sz val="10"/>
      <color theme="1"/>
      <name val="Ebrima"/>
    </font>
    <font>
      <sz val="9"/>
      <color theme="1"/>
      <name val="Ebrima"/>
    </font>
    <font>
      <sz val="12"/>
      <color theme="1"/>
      <name val="Consolas"/>
      <family val="3"/>
    </font>
    <font>
      <sz val="11"/>
      <color theme="1"/>
      <name val="Consolas"/>
      <family val="3"/>
    </font>
    <font>
      <u/>
      <sz val="12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ashed">
        <color theme="0" tint="-0.499984740745262"/>
      </bottom>
      <diagonal/>
    </border>
    <border>
      <left style="thin">
        <color auto="1"/>
      </left>
      <right style="thin">
        <color auto="1"/>
      </right>
      <top style="dashed">
        <color theme="0" tint="-0.499984740745262"/>
      </top>
      <bottom style="dashed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dashed">
        <color theme="0" tint="-0.499984740745262"/>
      </bottom>
      <diagonal/>
    </border>
    <border>
      <left/>
      <right style="thin">
        <color auto="1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auto="1"/>
      </left>
      <right style="thin">
        <color auto="1"/>
      </right>
      <top style="dashed">
        <color theme="0" tint="-0.499984740745262"/>
      </top>
      <bottom/>
      <diagonal/>
    </border>
    <border>
      <left/>
      <right style="thin">
        <color auto="1"/>
      </right>
      <top style="dashed">
        <color theme="0" tint="-0.499984740745262"/>
      </top>
      <bottom/>
      <diagonal/>
    </border>
    <border>
      <left style="thin">
        <color auto="1"/>
      </left>
      <right style="thin">
        <color auto="1"/>
      </right>
      <top style="dashed">
        <color theme="0" tint="-0.499984740745262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dashed">
        <color theme="0" tint="-0.34998626667073579"/>
      </bottom>
      <diagonal/>
    </border>
    <border>
      <left/>
      <right style="thin">
        <color auto="1"/>
      </right>
      <top style="thin">
        <color auto="1"/>
      </top>
      <bottom style="dashed">
        <color theme="0" tint="-0.34998626667073579"/>
      </bottom>
      <diagonal/>
    </border>
    <border>
      <left style="thin">
        <color auto="1"/>
      </left>
      <right/>
      <top style="dashed">
        <color theme="0" tint="-0.34998626667073579"/>
      </top>
      <bottom style="dashed">
        <color theme="0" tint="-0.34998626667073579"/>
      </bottom>
      <diagonal/>
    </border>
    <border>
      <left/>
      <right style="thin">
        <color auto="1"/>
      </right>
      <top style="dashed">
        <color theme="0" tint="-0.34998626667073579"/>
      </top>
      <bottom style="dashed">
        <color theme="0" tint="-0.34998626667073579"/>
      </bottom>
      <diagonal/>
    </border>
    <border>
      <left style="thin">
        <color auto="1"/>
      </left>
      <right/>
      <top style="dashed">
        <color theme="0" tint="-0.34998626667073579"/>
      </top>
      <bottom style="thin">
        <color auto="1"/>
      </bottom>
      <diagonal/>
    </border>
    <border>
      <left/>
      <right style="thin">
        <color auto="1"/>
      </right>
      <top style="dashed">
        <color theme="0" tint="-0.34998626667073579"/>
      </top>
      <bottom style="thin">
        <color auto="1"/>
      </bottom>
      <diagonal/>
    </border>
    <border>
      <left style="thin">
        <color theme="1" tint="4.9989318521683403E-2"/>
      </left>
      <right/>
      <top style="dashed">
        <color theme="0" tint="-0.34998626667073579"/>
      </top>
      <bottom style="dashed">
        <color theme="0" tint="-0.34998626667073579"/>
      </bottom>
      <diagonal/>
    </border>
    <border>
      <left/>
      <right style="thin">
        <color theme="1" tint="4.9989318521683403E-2"/>
      </right>
      <top style="dashed">
        <color theme="0" tint="-0.34998626667073579"/>
      </top>
      <bottom style="dashed">
        <color theme="0" tint="-0.34998626667073579"/>
      </bottom>
      <diagonal/>
    </border>
    <border>
      <left style="thin">
        <color theme="1" tint="4.9989318521683403E-2"/>
      </left>
      <right/>
      <top style="dashed">
        <color theme="0" tint="-0.34998626667073579"/>
      </top>
      <bottom style="thin">
        <color theme="1" tint="4.9989318521683403E-2"/>
      </bottom>
      <diagonal/>
    </border>
    <border>
      <left/>
      <right style="thin">
        <color theme="1" tint="4.9989318521683403E-2"/>
      </right>
      <top style="dashed">
        <color theme="0" tint="-0.34998626667073579"/>
      </top>
      <bottom style="thin">
        <color theme="1" tint="4.9989318521683403E-2"/>
      </bottom>
      <diagonal/>
    </border>
    <border>
      <left style="thin">
        <color auto="1"/>
      </left>
      <right/>
      <top/>
      <bottom style="dashed">
        <color theme="0" tint="-0.34998626667073579"/>
      </bottom>
      <diagonal/>
    </border>
    <border>
      <left/>
      <right style="thin">
        <color auto="1"/>
      </right>
      <top/>
      <bottom style="dashed">
        <color theme="0" tint="-0.34998626667073579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14">
    <xf numFmtId="0" fontId="0" fillId="0" borderId="0" xfId="0"/>
    <xf numFmtId="0" fontId="5" fillId="0" borderId="8" xfId="0" applyFont="1" applyBorder="1" applyAlignment="1">
      <alignment horizontal="center" vertical="center"/>
    </xf>
    <xf numFmtId="14" fontId="5" fillId="0" borderId="8" xfId="0" applyNumberFormat="1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4" fontId="5" fillId="0" borderId="9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8" xfId="0" applyNumberFormat="1" applyFont="1" applyBorder="1" applyAlignment="1">
      <alignment horizontal="center" vertical="center"/>
    </xf>
    <xf numFmtId="0" fontId="5" fillId="0" borderId="9" xfId="0" applyNumberFormat="1" applyFont="1" applyBorder="1" applyAlignment="1">
      <alignment horizontal="center" vertical="center"/>
    </xf>
    <xf numFmtId="3" fontId="5" fillId="0" borderId="8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3" fontId="5" fillId="0" borderId="9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/>
    </xf>
    <xf numFmtId="0" fontId="5" fillId="0" borderId="12" xfId="0" applyNumberFormat="1" applyFont="1" applyBorder="1" applyAlignment="1">
      <alignment horizontal="center" vertical="center"/>
    </xf>
    <xf numFmtId="3" fontId="5" fillId="0" borderId="12" xfId="0" applyNumberFormat="1" applyFont="1" applyBorder="1" applyAlignment="1">
      <alignment horizontal="center" vertical="center"/>
    </xf>
    <xf numFmtId="14" fontId="5" fillId="0" borderId="12" xfId="0" applyNumberFormat="1" applyFont="1" applyBorder="1" applyAlignment="1">
      <alignment horizontal="center" vertical="center"/>
    </xf>
    <xf numFmtId="14" fontId="5" fillId="0" borderId="14" xfId="0" applyNumberFormat="1" applyFont="1" applyBorder="1" applyAlignment="1">
      <alignment horizontal="center" vertical="center"/>
    </xf>
    <xf numFmtId="0" fontId="2" fillId="0" borderId="4" xfId="0" applyFont="1" applyBorder="1" applyAlignment="1"/>
    <xf numFmtId="0" fontId="2" fillId="0" borderId="5" xfId="0" applyFont="1" applyBorder="1" applyAlignment="1"/>
    <xf numFmtId="0" fontId="2" fillId="0" borderId="5" xfId="0" applyFont="1" applyBorder="1" applyAlignment="1">
      <alignment vertical="center"/>
    </xf>
    <xf numFmtId="3" fontId="5" fillId="0" borderId="8" xfId="0" applyNumberFormat="1" applyFont="1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/>
    <xf numFmtId="0" fontId="2" fillId="0" borderId="4" xfId="0" applyFont="1" applyBorder="1" applyAlignment="1">
      <alignment horizontal="left" vertical="center"/>
    </xf>
    <xf numFmtId="0" fontId="0" fillId="0" borderId="0" xfId="0" applyBorder="1"/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/>
    <xf numFmtId="0" fontId="6" fillId="0" borderId="15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 wrapText="1"/>
    </xf>
    <xf numFmtId="0" fontId="7" fillId="0" borderId="18" xfId="0" applyFont="1" applyBorder="1"/>
    <xf numFmtId="0" fontId="6" fillId="0" borderId="0" xfId="0" applyFont="1"/>
    <xf numFmtId="0" fontId="2" fillId="0" borderId="5" xfId="0" applyFont="1" applyBorder="1" applyAlignment="1">
      <alignment horizontal="left" vertical="center"/>
    </xf>
    <xf numFmtId="0" fontId="7" fillId="0" borderId="17" xfId="0" applyFont="1" applyBorder="1"/>
    <xf numFmtId="0" fontId="0" fillId="0" borderId="5" xfId="0" applyBorder="1"/>
    <xf numFmtId="0" fontId="5" fillId="2" borderId="8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8" xfId="0" applyNumberFormat="1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9" xfId="0" applyNumberFormat="1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12" xfId="0" applyNumberFormat="1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/>
    </xf>
    <xf numFmtId="3" fontId="5" fillId="2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8" xfId="0" quotePrefix="1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3" fontId="5" fillId="4" borderId="8" xfId="0" applyNumberFormat="1" applyFont="1" applyFill="1" applyBorder="1" applyAlignment="1">
      <alignment horizontal="center" vertical="center"/>
    </xf>
    <xf numFmtId="3" fontId="5" fillId="4" borderId="9" xfId="0" applyNumberFormat="1" applyFont="1" applyFill="1" applyBorder="1" applyAlignment="1">
      <alignment horizontal="center" vertical="center"/>
    </xf>
    <xf numFmtId="3" fontId="5" fillId="4" borderId="12" xfId="0" applyNumberFormat="1" applyFont="1" applyFill="1" applyBorder="1" applyAlignment="1">
      <alignment horizontal="center" vertical="center"/>
    </xf>
    <xf numFmtId="0" fontId="5" fillId="4" borderId="9" xfId="0" applyNumberFormat="1" applyFont="1" applyFill="1" applyBorder="1" applyAlignment="1">
      <alignment horizontal="center" vertical="center"/>
    </xf>
    <xf numFmtId="0" fontId="7" fillId="0" borderId="19" xfId="0" applyFont="1" applyBorder="1" applyAlignment="1">
      <alignment horizontal="right" vertical="center" wrapText="1"/>
    </xf>
    <xf numFmtId="0" fontId="7" fillId="0" borderId="21" xfId="0" applyFont="1" applyBorder="1" applyAlignment="1">
      <alignment horizontal="right" vertical="center" wrapText="1"/>
    </xf>
    <xf numFmtId="0" fontId="7" fillId="0" borderId="24" xfId="0" applyFont="1" applyBorder="1"/>
    <xf numFmtId="0" fontId="7" fillId="3" borderId="20" xfId="0" applyFont="1" applyFill="1" applyBorder="1" applyAlignment="1">
      <alignment horizontal="center" vertical="center"/>
    </xf>
    <xf numFmtId="0" fontId="7" fillId="0" borderId="23" xfId="0" applyFont="1" applyBorder="1" applyAlignment="1">
      <alignment horizontal="right" vertical="center" wrapText="1"/>
    </xf>
    <xf numFmtId="0" fontId="7" fillId="3" borderId="24" xfId="0" applyFont="1" applyFill="1" applyBorder="1" applyAlignment="1">
      <alignment horizontal="center" vertical="center"/>
    </xf>
    <xf numFmtId="0" fontId="7" fillId="0" borderId="19" xfId="0" applyFont="1" applyBorder="1" applyAlignment="1">
      <alignment horizontal="right" vertical="center"/>
    </xf>
    <xf numFmtId="0" fontId="7" fillId="0" borderId="23" xfId="0" applyFont="1" applyBorder="1" applyAlignment="1">
      <alignment horizontal="center" vertical="center"/>
    </xf>
    <xf numFmtId="14" fontId="5" fillId="5" borderId="8" xfId="0" applyNumberFormat="1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14" fontId="5" fillId="5" borderId="9" xfId="0" applyNumberFormat="1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14" fontId="5" fillId="5" borderId="12" xfId="0" applyNumberFormat="1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9" xfId="0" applyNumberFormat="1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7" fillId="0" borderId="21" xfId="0" applyFont="1" applyBorder="1" applyAlignment="1">
      <alignment horizontal="right" vertical="center"/>
    </xf>
    <xf numFmtId="0" fontId="7" fillId="0" borderId="22" xfId="0" applyFont="1" applyBorder="1"/>
    <xf numFmtId="0" fontId="7" fillId="0" borderId="23" xfId="0" applyFont="1" applyBorder="1" applyAlignment="1">
      <alignment horizontal="right" vertical="center"/>
    </xf>
    <xf numFmtId="0" fontId="7" fillId="0" borderId="20" xfId="0" applyFont="1" applyFill="1" applyBorder="1" applyAlignment="1">
      <alignment horizontal="center" vertical="center"/>
    </xf>
    <xf numFmtId="0" fontId="0" fillId="0" borderId="6" xfId="0" applyBorder="1"/>
    <xf numFmtId="0" fontId="2" fillId="0" borderId="1" xfId="0" applyFont="1" applyBorder="1" applyAlignment="1">
      <alignment horizontal="left" vertical="center"/>
    </xf>
    <xf numFmtId="0" fontId="4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vertical="center"/>
    </xf>
    <xf numFmtId="0" fontId="7" fillId="0" borderId="25" xfId="0" applyFont="1" applyBorder="1" applyAlignment="1">
      <alignment horizontal="right" vertical="center"/>
    </xf>
    <xf numFmtId="0" fontId="7" fillId="0" borderId="26" xfId="0" applyFont="1" applyBorder="1"/>
    <xf numFmtId="0" fontId="7" fillId="0" borderId="27" xfId="0" applyFont="1" applyBorder="1" applyAlignment="1">
      <alignment horizontal="right" vertical="center"/>
    </xf>
    <xf numFmtId="0" fontId="7" fillId="0" borderId="28" xfId="0" applyFont="1" applyBorder="1"/>
    <xf numFmtId="0" fontId="0" fillId="0" borderId="0" xfId="0" applyAlignment="1">
      <alignment horizontal="center" vertical="center" wrapText="1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7" fillId="0" borderId="29" xfId="0" applyFont="1" applyBorder="1" applyAlignment="1">
      <alignment horizontal="right" vertical="center"/>
    </xf>
    <xf numFmtId="0" fontId="7" fillId="3" borderId="6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8" fillId="0" borderId="0" xfId="1"/>
    <xf numFmtId="0" fontId="7" fillId="3" borderId="30" xfId="0" applyFont="1" applyFill="1" applyBorder="1" applyAlignment="1">
      <alignment horizontal="center" vertical="center"/>
    </xf>
    <xf numFmtId="0" fontId="1" fillId="0" borderId="0" xfId="0" applyFont="1"/>
    <xf numFmtId="0" fontId="2" fillId="3" borderId="20" xfId="0" applyFont="1" applyFill="1" applyBorder="1" applyAlignment="1">
      <alignment horizontal="center" vertical="center"/>
    </xf>
    <xf numFmtId="0" fontId="2" fillId="3" borderId="22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4" xfId="0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Medium4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9526</xdr:colOff>
      <xdr:row>1</xdr:row>
      <xdr:rowOff>161925</xdr:rowOff>
    </xdr:from>
    <xdr:to>
      <xdr:col>8</xdr:col>
      <xdr:colOff>628651</xdr:colOff>
      <xdr:row>4</xdr:row>
      <xdr:rowOff>171450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564776-D456-4F16-A48F-F68EFCA74239}"/>
            </a:ext>
          </a:extLst>
        </xdr:cNvPr>
        <xdr:cNvSpPr/>
      </xdr:nvSpPr>
      <xdr:spPr>
        <a:xfrm>
          <a:off x="7477126" y="361950"/>
          <a:ext cx="1219200" cy="60960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200" b="1">
              <a:latin typeface="Consolas" panose="020B0609020204030204" pitchFamily="49" charset="0"/>
            </a:rPr>
            <a:t>Save/Update to Database</a:t>
          </a:r>
        </a:p>
      </xdr:txBody>
    </xdr:sp>
    <xdr:clientData/>
  </xdr:twoCellAnchor>
  <xdr:twoCellAnchor>
    <xdr:from>
      <xdr:col>5</xdr:col>
      <xdr:colOff>0</xdr:colOff>
      <xdr:row>1</xdr:row>
      <xdr:rowOff>161925</xdr:rowOff>
    </xdr:from>
    <xdr:to>
      <xdr:col>6</xdr:col>
      <xdr:colOff>361950</xdr:colOff>
      <xdr:row>4</xdr:row>
      <xdr:rowOff>171450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8708E9D-71D8-44DE-B299-E6BA32BF3DCC}"/>
            </a:ext>
          </a:extLst>
        </xdr:cNvPr>
        <xdr:cNvSpPr/>
      </xdr:nvSpPr>
      <xdr:spPr>
        <a:xfrm>
          <a:off x="6086475" y="361950"/>
          <a:ext cx="1009650" cy="60960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200" b="1">
              <a:latin typeface="Consolas" panose="020B0609020204030204" pitchFamily="49" charset="0"/>
            </a:rPr>
            <a:t>Upload</a:t>
          </a:r>
          <a:r>
            <a:rPr lang="en-GB" sz="1200" b="1" baseline="0">
              <a:latin typeface="Consolas" panose="020B0609020204030204" pitchFamily="49" charset="0"/>
            </a:rPr>
            <a:t> </a:t>
          </a:r>
          <a:r>
            <a:rPr lang="en-GB" sz="1200" b="1">
              <a:latin typeface="Consolas" panose="020B0609020204030204" pitchFamily="49" charset="0"/>
            </a:rPr>
            <a:t>from Database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47624</xdr:rowOff>
    </xdr:from>
    <xdr:to>
      <xdr:col>8</xdr:col>
      <xdr:colOff>85725</xdr:colOff>
      <xdr:row>5</xdr:row>
      <xdr:rowOff>171449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63BB551-2E45-E14C-C0DF-37D739CEF7EE}"/>
            </a:ext>
          </a:extLst>
        </xdr:cNvPr>
        <xdr:cNvSpPr/>
      </xdr:nvSpPr>
      <xdr:spPr>
        <a:xfrm>
          <a:off x="8077200" y="447674"/>
          <a:ext cx="1019175" cy="809625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200" b="1">
              <a:latin typeface="Consolas" panose="020B0609020204030204" pitchFamily="49" charset="0"/>
            </a:rPr>
            <a:t>Save update to Database</a:t>
          </a:r>
        </a:p>
      </xdr:txBody>
    </xdr:sp>
    <xdr:clientData/>
  </xdr:twoCellAnchor>
  <xdr:twoCellAnchor>
    <xdr:from>
      <xdr:col>9</xdr:col>
      <xdr:colOff>342900</xdr:colOff>
      <xdr:row>2</xdr:row>
      <xdr:rowOff>47625</xdr:rowOff>
    </xdr:from>
    <xdr:to>
      <xdr:col>10</xdr:col>
      <xdr:colOff>676275</xdr:colOff>
      <xdr:row>6</xdr:row>
      <xdr:rowOff>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879A5A-E42B-4B3A-87A5-D7C7DE805316}"/>
            </a:ext>
          </a:extLst>
        </xdr:cNvPr>
        <xdr:cNvSpPr/>
      </xdr:nvSpPr>
      <xdr:spPr>
        <a:xfrm>
          <a:off x="10429875" y="447675"/>
          <a:ext cx="1162050" cy="771525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lvl="0" algn="ctr"/>
          <a:r>
            <a:rPr lang="en-GB" sz="1200" b="1">
              <a:latin typeface="Consolas" panose="020B0609020204030204" pitchFamily="49" charset="0"/>
            </a:rPr>
            <a:t>Upload</a:t>
          </a:r>
          <a:r>
            <a:rPr lang="en-GB" sz="1200" b="1" baseline="0">
              <a:latin typeface="Consolas" panose="020B0609020204030204" pitchFamily="49" charset="0"/>
            </a:rPr>
            <a:t> Vendor supplied Progress</a:t>
          </a:r>
          <a:endParaRPr lang="en-GB" sz="1200" b="1">
            <a:latin typeface="Consolas" panose="020B0609020204030204" pitchFamily="49" charset="0"/>
          </a:endParaRPr>
        </a:p>
      </xdr:txBody>
    </xdr:sp>
    <xdr:clientData/>
  </xdr:twoCellAnchor>
  <xdr:twoCellAnchor>
    <xdr:from>
      <xdr:col>11</xdr:col>
      <xdr:colOff>161925</xdr:colOff>
      <xdr:row>2</xdr:row>
      <xdr:rowOff>28573</xdr:rowOff>
    </xdr:from>
    <xdr:to>
      <xdr:col>12</xdr:col>
      <xdr:colOff>400050</xdr:colOff>
      <xdr:row>5</xdr:row>
      <xdr:rowOff>171449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86CD476-03BD-4D42-8FC4-D3683F06A875}"/>
            </a:ext>
          </a:extLst>
        </xdr:cNvPr>
        <xdr:cNvSpPr/>
      </xdr:nvSpPr>
      <xdr:spPr>
        <a:xfrm>
          <a:off x="11906250" y="428623"/>
          <a:ext cx="1181100" cy="762001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200" b="1">
              <a:latin typeface="Consolas" panose="020B0609020204030204" pitchFamily="49" charset="0"/>
            </a:rPr>
            <a:t>Print Progress Template</a:t>
          </a:r>
        </a:p>
      </xdr:txBody>
    </xdr:sp>
    <xdr:clientData/>
  </xdr:twoCellAnchor>
  <xdr:twoCellAnchor>
    <xdr:from>
      <xdr:col>4</xdr:col>
      <xdr:colOff>704851</xdr:colOff>
      <xdr:row>2</xdr:row>
      <xdr:rowOff>66675</xdr:rowOff>
    </xdr:from>
    <xdr:to>
      <xdr:col>6</xdr:col>
      <xdr:colOff>104776</xdr:colOff>
      <xdr:row>5</xdr:row>
      <xdr:rowOff>180975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5E9403A-FB12-49F2-9970-E844A43CC63B}"/>
            </a:ext>
          </a:extLst>
        </xdr:cNvPr>
        <xdr:cNvSpPr/>
      </xdr:nvSpPr>
      <xdr:spPr>
        <a:xfrm>
          <a:off x="6677026" y="466725"/>
          <a:ext cx="1085850" cy="80010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200" b="1">
              <a:latin typeface="Consolas" panose="020B0609020204030204" pitchFamily="49" charset="0"/>
            </a:rPr>
            <a:t>Retrieve latest Database info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svortega@trident-energy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2:Z24"/>
  <sheetViews>
    <sheetView workbookViewId="0">
      <selection activeCell="C16" sqref="C16"/>
    </sheetView>
  </sheetViews>
  <sheetFormatPr defaultColWidth="11" defaultRowHeight="15.75" x14ac:dyDescent="0.25"/>
  <cols>
    <col min="1" max="1" width="14" customWidth="1"/>
    <col min="2" max="2" width="13.625" customWidth="1"/>
    <col min="3" max="3" width="18.5" customWidth="1"/>
    <col min="4" max="4" width="26" customWidth="1"/>
    <col min="5" max="5" width="7.875" customWidth="1"/>
    <col min="6" max="6" width="9.25" customWidth="1"/>
    <col min="7" max="7" width="9.625" bestFit="1" customWidth="1"/>
    <col min="8" max="8" width="7.875" bestFit="1" customWidth="1"/>
    <col min="9" max="9" width="17.625" customWidth="1"/>
    <col min="10" max="10" width="11" customWidth="1"/>
    <col min="11" max="11" width="10.5" customWidth="1"/>
    <col min="12" max="12" width="12.125" customWidth="1"/>
    <col min="13" max="13" width="15" customWidth="1"/>
    <col min="14" max="14" width="10" customWidth="1"/>
    <col min="15" max="15" width="17.75" bestFit="1" customWidth="1"/>
    <col min="16" max="16" width="12.375" customWidth="1"/>
    <col min="17" max="19" width="10.5" customWidth="1"/>
    <col min="20" max="20" width="12.5" customWidth="1"/>
    <col min="21" max="21" width="12.75" customWidth="1"/>
    <col min="22" max="22" width="18.25" bestFit="1" customWidth="1"/>
    <col min="23" max="23" width="11" customWidth="1"/>
    <col min="24" max="24" width="11.125" customWidth="1"/>
    <col min="25" max="25" width="10.625" customWidth="1"/>
  </cols>
  <sheetData>
    <row r="2" spans="1:26" x14ac:dyDescent="0.25">
      <c r="A2" s="84" t="s">
        <v>138</v>
      </c>
      <c r="B2" s="85"/>
      <c r="C2" s="84" t="s">
        <v>4</v>
      </c>
      <c r="D2" s="103" t="s">
        <v>37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</row>
    <row r="3" spans="1:26" x14ac:dyDescent="0.25">
      <c r="A3" s="73" t="s">
        <v>39</v>
      </c>
      <c r="B3" s="70" t="s">
        <v>26</v>
      </c>
      <c r="C3" s="102" t="str">
        <f>IF(D2="New","","Name:")</f>
        <v>Name:</v>
      </c>
      <c r="D3" s="107" t="s">
        <v>14</v>
      </c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</row>
    <row r="4" spans="1:26" x14ac:dyDescent="0.25">
      <c r="A4" s="88" t="s">
        <v>40</v>
      </c>
      <c r="B4" s="72" t="s">
        <v>29</v>
      </c>
      <c r="C4" s="86"/>
      <c r="D4" s="87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</row>
    <row r="5" spans="1:26" x14ac:dyDescent="0.25">
      <c r="A5" s="43"/>
      <c r="B5" s="40"/>
      <c r="C5" s="86"/>
      <c r="D5" s="87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</row>
    <row r="6" spans="1:26" x14ac:dyDescent="0.25">
      <c r="A6" s="73" t="s">
        <v>41</v>
      </c>
      <c r="B6" s="89" t="s">
        <v>62</v>
      </c>
      <c r="C6" s="95"/>
      <c r="D6" s="96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</row>
    <row r="7" spans="1:26" x14ac:dyDescent="0.25">
      <c r="A7" s="74"/>
      <c r="B7" s="69"/>
      <c r="C7" s="97"/>
      <c r="D7" s="98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</row>
    <row r="8" spans="1:26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</row>
    <row r="9" spans="1:26" x14ac:dyDescent="0.25">
      <c r="A9" s="104" t="s">
        <v>60</v>
      </c>
      <c r="B9" s="44"/>
      <c r="C9" s="29"/>
      <c r="D9" s="105"/>
      <c r="E9" s="111" t="s">
        <v>10</v>
      </c>
      <c r="F9" s="112"/>
      <c r="G9" s="111" t="s">
        <v>7</v>
      </c>
      <c r="H9" s="112"/>
      <c r="I9" s="42" t="s">
        <v>65</v>
      </c>
      <c r="J9" s="30"/>
      <c r="K9" s="31" t="s">
        <v>17</v>
      </c>
      <c r="L9" s="29"/>
      <c r="M9" s="26"/>
      <c r="N9" s="32"/>
      <c r="O9" s="25" t="s">
        <v>21</v>
      </c>
      <c r="P9" s="44"/>
      <c r="Q9" s="27"/>
      <c r="R9" s="27"/>
      <c r="S9" s="27"/>
      <c r="T9" s="94"/>
      <c r="U9" s="33" t="s">
        <v>57</v>
      </c>
      <c r="V9" s="44"/>
      <c r="W9" s="93"/>
      <c r="X9" s="91" t="s">
        <v>64</v>
      </c>
      <c r="Y9" s="92"/>
      <c r="Z9" s="90"/>
    </row>
    <row r="10" spans="1:26" ht="51" x14ac:dyDescent="0.25">
      <c r="A10" s="39" t="s">
        <v>2</v>
      </c>
      <c r="B10" s="39" t="s">
        <v>0</v>
      </c>
      <c r="C10" s="14" t="s">
        <v>45</v>
      </c>
      <c r="D10" s="39" t="s">
        <v>9</v>
      </c>
      <c r="E10" s="39" t="s">
        <v>5</v>
      </c>
      <c r="F10" s="39" t="s">
        <v>6</v>
      </c>
      <c r="G10" s="39" t="s">
        <v>11</v>
      </c>
      <c r="H10" s="14" t="s">
        <v>12</v>
      </c>
      <c r="I10" s="39" t="s">
        <v>66</v>
      </c>
      <c r="J10" s="14" t="s">
        <v>67</v>
      </c>
      <c r="K10" s="39" t="s">
        <v>18</v>
      </c>
      <c r="L10" s="39" t="s">
        <v>36</v>
      </c>
      <c r="M10" s="39" t="s">
        <v>59</v>
      </c>
      <c r="N10" s="14" t="s">
        <v>19</v>
      </c>
      <c r="O10" s="39" t="s">
        <v>126</v>
      </c>
      <c r="P10" s="39" t="s">
        <v>58</v>
      </c>
      <c r="Q10" s="14" t="s">
        <v>68</v>
      </c>
      <c r="R10" s="14" t="s">
        <v>51</v>
      </c>
      <c r="S10" s="14" t="s">
        <v>54</v>
      </c>
      <c r="T10" s="14" t="s">
        <v>56</v>
      </c>
      <c r="U10" s="14" t="s">
        <v>55</v>
      </c>
      <c r="V10" s="39" t="s">
        <v>69</v>
      </c>
      <c r="W10" s="14" t="s">
        <v>70</v>
      </c>
      <c r="X10" s="14" t="s">
        <v>63</v>
      </c>
      <c r="Y10" s="14" t="s">
        <v>71</v>
      </c>
      <c r="Z10" s="14" t="s">
        <v>72</v>
      </c>
    </row>
    <row r="11" spans="1:26" x14ac:dyDescent="0.25">
      <c r="A11" s="1">
        <v>1</v>
      </c>
      <c r="B11" s="6" t="s">
        <v>14</v>
      </c>
      <c r="C11" s="15" t="s">
        <v>8</v>
      </c>
      <c r="D11" s="1" t="s">
        <v>22</v>
      </c>
      <c r="E11" s="6"/>
      <c r="F11" s="6"/>
      <c r="G11" s="2">
        <v>44837</v>
      </c>
      <c r="H11" s="8">
        <v>2</v>
      </c>
      <c r="I11" s="1"/>
      <c r="J11" s="1"/>
      <c r="K11" s="11" t="s">
        <v>1</v>
      </c>
      <c r="L11" s="11"/>
      <c r="M11" s="1" t="s">
        <v>13</v>
      </c>
      <c r="N11" s="10">
        <v>6100</v>
      </c>
      <c r="O11" s="11" t="s">
        <v>124</v>
      </c>
      <c r="P11" s="8" t="s">
        <v>123</v>
      </c>
      <c r="Q11" s="28">
        <v>23930</v>
      </c>
      <c r="R11" s="28"/>
      <c r="S11" s="28"/>
      <c r="T11" s="8" t="s">
        <v>32</v>
      </c>
      <c r="U11" s="8" t="s">
        <v>118</v>
      </c>
      <c r="V11" s="1"/>
      <c r="W11" s="1"/>
      <c r="X11" s="1">
        <v>1</v>
      </c>
      <c r="Y11" s="1" t="s">
        <v>121</v>
      </c>
      <c r="Z11" s="1" t="s">
        <v>122</v>
      </c>
    </row>
    <row r="12" spans="1:26" x14ac:dyDescent="0.25">
      <c r="A12" s="3">
        <v>2</v>
      </c>
      <c r="B12" s="7" t="s">
        <v>14</v>
      </c>
      <c r="C12" s="16" t="s">
        <v>8</v>
      </c>
      <c r="D12" s="3" t="s">
        <v>15</v>
      </c>
      <c r="E12" s="7">
        <v>1</v>
      </c>
      <c r="F12" s="7"/>
      <c r="G12" s="4">
        <v>44851</v>
      </c>
      <c r="H12" s="9">
        <v>3</v>
      </c>
      <c r="I12" s="3"/>
      <c r="J12" s="3"/>
      <c r="K12" s="12" t="s">
        <v>1</v>
      </c>
      <c r="L12" s="12"/>
      <c r="M12" s="3"/>
      <c r="N12" s="13">
        <v>7800</v>
      </c>
      <c r="O12" s="12"/>
      <c r="P12" s="9"/>
      <c r="Q12" s="12"/>
      <c r="R12" s="12"/>
      <c r="S12" s="12"/>
      <c r="T12" s="9" t="s">
        <v>32</v>
      </c>
      <c r="U12" s="9" t="s">
        <v>118</v>
      </c>
      <c r="V12" s="3" t="s">
        <v>119</v>
      </c>
      <c r="W12" s="4">
        <v>44918</v>
      </c>
      <c r="X12" s="4"/>
      <c r="Y12" s="4"/>
      <c r="Z12" s="4"/>
    </row>
    <row r="13" spans="1:26" x14ac:dyDescent="0.25">
      <c r="A13" s="3">
        <v>3</v>
      </c>
      <c r="B13" s="7" t="s">
        <v>14</v>
      </c>
      <c r="C13" s="16" t="s">
        <v>8</v>
      </c>
      <c r="D13" s="3" t="s">
        <v>23</v>
      </c>
      <c r="E13" s="7">
        <v>2</v>
      </c>
      <c r="F13" s="7"/>
      <c r="G13" s="4">
        <v>44872</v>
      </c>
      <c r="H13" s="9">
        <v>2</v>
      </c>
      <c r="I13" s="3" t="s">
        <v>114</v>
      </c>
      <c r="J13" s="4">
        <v>44907</v>
      </c>
      <c r="K13" s="12" t="s">
        <v>1</v>
      </c>
      <c r="L13" s="12"/>
      <c r="M13" s="3"/>
      <c r="N13" s="13">
        <v>3900</v>
      </c>
      <c r="O13" s="12"/>
      <c r="P13" s="9"/>
      <c r="Q13" s="12"/>
      <c r="R13" s="12"/>
      <c r="S13" s="12"/>
      <c r="T13" s="9" t="s">
        <v>32</v>
      </c>
      <c r="U13" s="9" t="s">
        <v>118</v>
      </c>
      <c r="V13" s="3"/>
      <c r="W13" s="3"/>
      <c r="X13" s="3"/>
      <c r="Y13" s="3"/>
      <c r="Z13" s="3"/>
    </row>
    <row r="14" spans="1:26" x14ac:dyDescent="0.25">
      <c r="A14" s="3">
        <v>4</v>
      </c>
      <c r="B14" s="7" t="s">
        <v>14</v>
      </c>
      <c r="C14" s="16" t="s">
        <v>8</v>
      </c>
      <c r="D14" s="3" t="s">
        <v>24</v>
      </c>
      <c r="E14" s="7">
        <v>2</v>
      </c>
      <c r="F14" s="7"/>
      <c r="G14" s="4">
        <v>44886</v>
      </c>
      <c r="H14" s="9">
        <v>2</v>
      </c>
      <c r="I14" s="3" t="s">
        <v>115</v>
      </c>
      <c r="J14" s="4">
        <v>44921</v>
      </c>
      <c r="K14" s="12" t="s">
        <v>1</v>
      </c>
      <c r="L14" s="12"/>
      <c r="M14" s="3"/>
      <c r="N14" s="13">
        <v>1870</v>
      </c>
      <c r="O14" s="12"/>
      <c r="P14" s="9"/>
      <c r="Q14" s="12"/>
      <c r="R14" s="12"/>
      <c r="S14" s="12"/>
      <c r="T14" s="9" t="s">
        <v>32</v>
      </c>
      <c r="U14" s="9" t="s">
        <v>118</v>
      </c>
      <c r="V14" s="4"/>
      <c r="W14" s="4"/>
      <c r="X14" s="4"/>
      <c r="Y14" s="4"/>
      <c r="Z14" s="4"/>
    </row>
    <row r="15" spans="1:26" x14ac:dyDescent="0.25">
      <c r="A15" s="17">
        <v>5</v>
      </c>
      <c r="B15" s="18" t="s">
        <v>14</v>
      </c>
      <c r="C15" s="19" t="s">
        <v>8</v>
      </c>
      <c r="D15" s="17" t="s">
        <v>16</v>
      </c>
      <c r="E15" s="18">
        <v>2</v>
      </c>
      <c r="F15" s="18"/>
      <c r="G15" s="23">
        <v>44893</v>
      </c>
      <c r="H15" s="21">
        <v>1</v>
      </c>
      <c r="I15" s="17" t="s">
        <v>116</v>
      </c>
      <c r="J15" s="24">
        <v>44921</v>
      </c>
      <c r="K15" s="20" t="s">
        <v>1</v>
      </c>
      <c r="L15" s="20"/>
      <c r="M15" s="17"/>
      <c r="N15" s="22">
        <v>4260</v>
      </c>
      <c r="O15" s="20"/>
      <c r="P15" s="21"/>
      <c r="Q15" s="20"/>
      <c r="R15" s="20"/>
      <c r="S15" s="20"/>
      <c r="T15" s="9" t="s">
        <v>32</v>
      </c>
      <c r="U15" s="9" t="s">
        <v>118</v>
      </c>
      <c r="V15" s="23" t="s">
        <v>120</v>
      </c>
      <c r="W15" s="23">
        <v>44951</v>
      </c>
      <c r="X15" s="23"/>
      <c r="Y15" s="23"/>
      <c r="Z15" s="23"/>
    </row>
    <row r="16" spans="1:26" x14ac:dyDescent="0.25">
      <c r="A16" s="1"/>
      <c r="B16" s="6"/>
      <c r="C16" s="1"/>
      <c r="D16" s="1"/>
      <c r="E16" s="6"/>
      <c r="F16" s="6"/>
      <c r="G16" s="2"/>
      <c r="H16" s="8"/>
      <c r="I16" s="1"/>
      <c r="J16" s="1"/>
      <c r="K16" s="11"/>
      <c r="L16" s="11"/>
      <c r="M16" s="1"/>
      <c r="N16" s="10"/>
      <c r="O16" s="11"/>
      <c r="P16" s="8"/>
      <c r="Q16" s="28"/>
      <c r="R16" s="28"/>
      <c r="S16" s="28"/>
      <c r="T16" s="28"/>
      <c r="U16" s="28"/>
      <c r="V16" s="1"/>
      <c r="W16" s="1"/>
      <c r="X16" s="1"/>
      <c r="Y16" s="1"/>
      <c r="Z16" s="1"/>
    </row>
    <row r="17" spans="1:26" x14ac:dyDescent="0.25">
      <c r="A17" s="3"/>
      <c r="B17" s="7"/>
      <c r="C17" s="3"/>
      <c r="D17" s="3"/>
      <c r="E17" s="7"/>
      <c r="F17" s="7"/>
      <c r="G17" s="4"/>
      <c r="H17" s="9"/>
      <c r="I17" s="3"/>
      <c r="J17" s="3"/>
      <c r="K17" s="12"/>
      <c r="L17" s="12"/>
      <c r="M17" s="3"/>
      <c r="N17" s="13"/>
      <c r="O17" s="12"/>
      <c r="P17" s="9"/>
      <c r="Q17" s="12"/>
      <c r="R17" s="12"/>
      <c r="S17" s="12"/>
      <c r="T17" s="12"/>
      <c r="U17" s="12"/>
      <c r="V17" s="3"/>
      <c r="W17" s="3"/>
      <c r="X17" s="3"/>
      <c r="Y17" s="3"/>
      <c r="Z17" s="3"/>
    </row>
    <row r="18" spans="1:26" x14ac:dyDescent="0.25">
      <c r="A18" s="3"/>
      <c r="B18" s="7"/>
      <c r="C18" s="3"/>
      <c r="D18" s="3"/>
      <c r="E18" s="7"/>
      <c r="F18" s="7"/>
      <c r="G18" s="4"/>
      <c r="H18" s="9"/>
      <c r="I18" s="3"/>
      <c r="J18" s="3"/>
      <c r="K18" s="12"/>
      <c r="L18" s="12"/>
      <c r="M18" s="3"/>
      <c r="N18" s="13"/>
      <c r="O18" s="12"/>
      <c r="P18" s="9"/>
      <c r="Q18" s="12"/>
      <c r="R18" s="12"/>
      <c r="S18" s="12"/>
      <c r="T18" s="12"/>
      <c r="U18" s="12"/>
      <c r="V18" s="3"/>
      <c r="W18" s="3"/>
      <c r="X18" s="3"/>
      <c r="Y18" s="3"/>
      <c r="Z18" s="3"/>
    </row>
    <row r="19" spans="1:26" x14ac:dyDescent="0.25">
      <c r="A19" s="3"/>
      <c r="B19" s="7"/>
      <c r="C19" s="3"/>
      <c r="D19" s="3"/>
      <c r="E19" s="7"/>
      <c r="F19" s="7"/>
      <c r="G19" s="4"/>
      <c r="H19" s="9"/>
      <c r="I19" s="3"/>
      <c r="J19" s="4"/>
      <c r="K19" s="12"/>
      <c r="L19" s="12"/>
      <c r="M19" s="3"/>
      <c r="N19" s="13"/>
      <c r="O19" s="12"/>
      <c r="P19" s="9"/>
      <c r="Q19" s="12"/>
      <c r="R19" s="12"/>
      <c r="S19" s="12"/>
      <c r="T19" s="12"/>
      <c r="U19" s="12"/>
      <c r="V19" s="4"/>
      <c r="W19" s="4"/>
      <c r="X19" s="4"/>
      <c r="Y19" s="4"/>
      <c r="Z19" s="4"/>
    </row>
    <row r="20" spans="1:26" x14ac:dyDescent="0.25">
      <c r="X20" s="5"/>
      <c r="Y20" s="5"/>
    </row>
    <row r="21" spans="1:26" x14ac:dyDescent="0.25">
      <c r="Y21" s="5"/>
    </row>
    <row r="22" spans="1:26" x14ac:dyDescent="0.25">
      <c r="Y22" s="5"/>
    </row>
    <row r="23" spans="1:26" x14ac:dyDescent="0.25">
      <c r="Y23" s="5"/>
    </row>
    <row r="24" spans="1:26" x14ac:dyDescent="0.25">
      <c r="Y24" s="5"/>
    </row>
  </sheetData>
  <mergeCells count="2">
    <mergeCell ref="E9:F9"/>
    <mergeCell ref="G9:H9"/>
  </mergeCells>
  <phoneticPr fontId="3" type="noConversion"/>
  <pageMargins left="0.75" right="0.75" top="1" bottom="1" header="0.5" footer="0.5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DEB8238-8165-48D8-A855-A561F9D2C7B8}">
          <x14:formula1>
            <xm:f>Pivot!$A$2:$A$3</xm:f>
          </x14:formula1>
          <xm:sqref>B3</xm:sqref>
        </x14:dataValidation>
        <x14:dataValidation type="list" allowBlank="1" showInputMessage="1" showErrorMessage="1" xr:uid="{5753BC54-5389-4A32-A83B-DE3AEDE03FB9}">
          <x14:formula1>
            <xm:f>Pivot!$B$2:$B$4</xm:f>
          </x14:formula1>
          <xm:sqref>B4</xm:sqref>
        </x14:dataValidation>
        <x14:dataValidation type="list" allowBlank="1" showInputMessage="1" showErrorMessage="1" xr:uid="{BF795C51-8BA9-457A-96E7-12896FD7E4E8}">
          <x14:formula1>
            <xm:f>Pivot!$C$2:$C$4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07802-DA1F-42AA-8A1A-4B851662C9BE}">
  <sheetPr codeName="Sheet2">
    <tabColor rgb="FF92D050"/>
  </sheetPr>
  <dimension ref="A2:O18"/>
  <sheetViews>
    <sheetView workbookViewId="0">
      <selection activeCell="D22" sqref="D22"/>
    </sheetView>
  </sheetViews>
  <sheetFormatPr defaultColWidth="11" defaultRowHeight="15.75" x14ac:dyDescent="0.25"/>
  <cols>
    <col min="1" max="1" width="13.875" customWidth="1"/>
    <col min="2" max="2" width="13.375" bestFit="1" customWidth="1"/>
    <col min="3" max="3" width="26.625" customWidth="1"/>
    <col min="4" max="4" width="24.5" bestFit="1" customWidth="1"/>
    <col min="5" max="5" width="10.5" bestFit="1" customWidth="1"/>
    <col min="6" max="6" width="11.625" bestFit="1" customWidth="1"/>
    <col min="7" max="7" width="8.375" customWidth="1"/>
    <col min="8" max="8" width="10.5" customWidth="1"/>
    <col min="9" max="9" width="13" bestFit="1" customWidth="1"/>
    <col min="10" max="11" width="10.875" customWidth="1"/>
    <col min="12" max="12" width="12.375" customWidth="1"/>
    <col min="13" max="13" width="10.75" customWidth="1"/>
    <col min="14" max="15" width="14.125" bestFit="1" customWidth="1"/>
    <col min="16" max="16" width="10" customWidth="1"/>
    <col min="17" max="17" width="11.125" customWidth="1"/>
    <col min="18" max="18" width="10.625" customWidth="1"/>
  </cols>
  <sheetData>
    <row r="2" spans="1:15" x14ac:dyDescent="0.25">
      <c r="A2" s="35" t="s">
        <v>138</v>
      </c>
      <c r="B2" s="36"/>
      <c r="C2" s="37" t="s">
        <v>4</v>
      </c>
      <c r="D2" s="36"/>
      <c r="F2" s="34"/>
      <c r="G2" s="34"/>
    </row>
    <row r="3" spans="1:15" x14ac:dyDescent="0.25">
      <c r="A3" s="67" t="s">
        <v>39</v>
      </c>
      <c r="B3" s="70" t="s">
        <v>26</v>
      </c>
      <c r="C3" s="67" t="s">
        <v>42</v>
      </c>
      <c r="D3" s="109" t="s">
        <v>14</v>
      </c>
      <c r="F3" s="34"/>
      <c r="G3" s="34"/>
    </row>
    <row r="4" spans="1:15" ht="17.25" customHeight="1" x14ac:dyDescent="0.25">
      <c r="A4" s="71" t="s">
        <v>40</v>
      </c>
      <c r="B4" s="72" t="s">
        <v>29</v>
      </c>
      <c r="C4" s="68" t="s">
        <v>46</v>
      </c>
      <c r="D4" s="110" t="s">
        <v>8</v>
      </c>
      <c r="F4" s="34"/>
      <c r="G4" s="34"/>
    </row>
    <row r="5" spans="1:15" x14ac:dyDescent="0.25">
      <c r="C5" s="68" t="s">
        <v>43</v>
      </c>
      <c r="D5" s="110" t="s">
        <v>1</v>
      </c>
      <c r="F5" s="34"/>
      <c r="G5" s="34"/>
    </row>
    <row r="6" spans="1:15" x14ac:dyDescent="0.25">
      <c r="A6" s="73" t="s">
        <v>41</v>
      </c>
      <c r="B6" s="89" t="s">
        <v>62</v>
      </c>
      <c r="C6" s="68" t="s">
        <v>128</v>
      </c>
      <c r="D6" s="110" t="s">
        <v>32</v>
      </c>
      <c r="F6" s="34"/>
      <c r="G6" s="34"/>
    </row>
    <row r="7" spans="1:15" x14ac:dyDescent="0.25">
      <c r="A7" s="74"/>
      <c r="B7" s="69"/>
      <c r="C7" s="71" t="s">
        <v>139</v>
      </c>
      <c r="D7" s="72" t="s">
        <v>124</v>
      </c>
      <c r="F7" s="34"/>
      <c r="G7" s="34"/>
    </row>
    <row r="9" spans="1:15" x14ac:dyDescent="0.25">
      <c r="A9" s="38" t="s">
        <v>2</v>
      </c>
      <c r="B9" s="31" t="s">
        <v>60</v>
      </c>
      <c r="C9" s="29"/>
      <c r="D9" s="29"/>
      <c r="E9" s="113"/>
      <c r="F9" s="44"/>
      <c r="G9" s="90"/>
      <c r="H9" s="25" t="s">
        <v>61</v>
      </c>
      <c r="I9" s="26"/>
      <c r="J9" s="26"/>
      <c r="K9" s="32"/>
      <c r="L9" s="33" t="s">
        <v>44</v>
      </c>
      <c r="M9" s="29"/>
      <c r="N9" s="30"/>
      <c r="O9" s="38" t="s">
        <v>38</v>
      </c>
    </row>
    <row r="10" spans="1:15" ht="38.25" x14ac:dyDescent="0.25">
      <c r="A10" s="39" t="s">
        <v>58</v>
      </c>
      <c r="B10" s="14" t="s">
        <v>0</v>
      </c>
      <c r="C10" s="14" t="s">
        <v>45</v>
      </c>
      <c r="D10" s="39" t="s">
        <v>9</v>
      </c>
      <c r="E10" s="39" t="s">
        <v>126</v>
      </c>
      <c r="F10" s="39" t="s">
        <v>18</v>
      </c>
      <c r="G10" s="39" t="s">
        <v>33</v>
      </c>
      <c r="H10" s="39" t="s">
        <v>49</v>
      </c>
      <c r="I10" s="39" t="s">
        <v>47</v>
      </c>
      <c r="J10" s="14" t="s">
        <v>48</v>
      </c>
      <c r="K10" s="39" t="s">
        <v>52</v>
      </c>
      <c r="L10" s="39" t="s">
        <v>50</v>
      </c>
      <c r="M10" s="39" t="s">
        <v>53</v>
      </c>
      <c r="N10" s="39" t="s">
        <v>20</v>
      </c>
      <c r="O10" s="39" t="s">
        <v>3</v>
      </c>
    </row>
    <row r="11" spans="1:15" x14ac:dyDescent="0.25">
      <c r="A11" s="47">
        <v>1</v>
      </c>
      <c r="B11" s="45" t="s">
        <v>14</v>
      </c>
      <c r="C11" s="46" t="s">
        <v>8</v>
      </c>
      <c r="D11" s="47" t="s">
        <v>22</v>
      </c>
      <c r="E11" s="57" t="str">
        <f>D7</f>
        <v>svortega</v>
      </c>
      <c r="F11" s="57" t="s">
        <v>1</v>
      </c>
      <c r="G11" s="48" t="s">
        <v>32</v>
      </c>
      <c r="H11" s="75">
        <v>44837</v>
      </c>
      <c r="I11" s="76">
        <v>2</v>
      </c>
      <c r="J11" s="61">
        <v>100</v>
      </c>
      <c r="K11" s="61"/>
      <c r="L11" s="82">
        <f>N11*J11/100</f>
        <v>6100</v>
      </c>
      <c r="M11" s="63"/>
      <c r="N11" s="63">
        <v>6100</v>
      </c>
      <c r="O11" s="60"/>
    </row>
    <row r="12" spans="1:15" x14ac:dyDescent="0.25">
      <c r="A12" s="51">
        <v>2</v>
      </c>
      <c r="B12" s="49"/>
      <c r="C12" s="50"/>
      <c r="D12" s="51" t="s">
        <v>15</v>
      </c>
      <c r="E12" s="58"/>
      <c r="F12" s="58"/>
      <c r="G12" s="52"/>
      <c r="H12" s="77">
        <v>44851</v>
      </c>
      <c r="I12" s="78">
        <v>3</v>
      </c>
      <c r="J12" s="62">
        <v>25</v>
      </c>
      <c r="K12" s="62"/>
      <c r="L12" s="83">
        <f>N12*J12/100</f>
        <v>1950</v>
      </c>
      <c r="M12" s="64"/>
      <c r="N12" s="64">
        <v>7800</v>
      </c>
      <c r="O12" s="59"/>
    </row>
    <row r="13" spans="1:15" x14ac:dyDescent="0.25">
      <c r="A13" s="51">
        <v>3</v>
      </c>
      <c r="B13" s="49"/>
      <c r="C13" s="50"/>
      <c r="D13" s="51" t="s">
        <v>23</v>
      </c>
      <c r="E13" s="58"/>
      <c r="F13" s="58"/>
      <c r="G13" s="52"/>
      <c r="H13" s="77">
        <f>H12+(I12)*7</f>
        <v>44872</v>
      </c>
      <c r="I13" s="78">
        <v>2</v>
      </c>
      <c r="J13" s="62">
        <v>25</v>
      </c>
      <c r="K13" s="62"/>
      <c r="L13" s="83">
        <f>N13*J13/100</f>
        <v>975</v>
      </c>
      <c r="M13" s="64"/>
      <c r="N13" s="64">
        <v>3900</v>
      </c>
      <c r="O13" s="59"/>
    </row>
    <row r="14" spans="1:15" x14ac:dyDescent="0.25">
      <c r="A14" s="51">
        <v>4</v>
      </c>
      <c r="B14" s="49"/>
      <c r="C14" s="50"/>
      <c r="D14" s="51" t="s">
        <v>24</v>
      </c>
      <c r="E14" s="58"/>
      <c r="F14" s="58"/>
      <c r="G14" s="52"/>
      <c r="H14" s="77">
        <f>H13+I13*7</f>
        <v>44886</v>
      </c>
      <c r="I14" s="78">
        <v>2</v>
      </c>
      <c r="J14" s="62">
        <v>25</v>
      </c>
      <c r="K14" s="62"/>
      <c r="L14" s="83">
        <f>N14*J14/100</f>
        <v>467.5</v>
      </c>
      <c r="M14" s="64"/>
      <c r="N14" s="64">
        <v>1870</v>
      </c>
      <c r="O14" s="59"/>
    </row>
    <row r="15" spans="1:15" x14ac:dyDescent="0.25">
      <c r="A15" s="55">
        <v>5</v>
      </c>
      <c r="B15" s="53"/>
      <c r="C15" s="54"/>
      <c r="D15" s="55" t="s">
        <v>16</v>
      </c>
      <c r="E15" s="58"/>
      <c r="F15" s="58"/>
      <c r="G15" s="56"/>
      <c r="H15" s="79">
        <f>H14+7</f>
        <v>44893</v>
      </c>
      <c r="I15" s="80">
        <v>1</v>
      </c>
      <c r="J15" s="62">
        <v>0</v>
      </c>
      <c r="K15" s="62"/>
      <c r="L15" s="83">
        <f>N15*J15/100</f>
        <v>0</v>
      </c>
      <c r="M15" s="65"/>
      <c r="N15" s="65">
        <v>4260</v>
      </c>
      <c r="O15" s="59"/>
    </row>
    <row r="16" spans="1:15" x14ac:dyDescent="0.25">
      <c r="A16" s="51"/>
      <c r="B16" s="49"/>
      <c r="C16" s="50"/>
      <c r="D16" s="51"/>
      <c r="E16" s="58"/>
      <c r="F16" s="58"/>
      <c r="G16" s="52"/>
      <c r="H16" s="81"/>
      <c r="I16" s="78"/>
      <c r="J16" s="62"/>
      <c r="K16" s="62"/>
      <c r="L16" s="78"/>
      <c r="M16" s="62"/>
      <c r="N16" s="66"/>
      <c r="O16" s="59"/>
    </row>
    <row r="17" spans="1:15" x14ac:dyDescent="0.25">
      <c r="A17" s="51"/>
      <c r="B17" s="49"/>
      <c r="C17" s="50"/>
      <c r="D17" s="51"/>
      <c r="E17" s="58"/>
      <c r="F17" s="58"/>
      <c r="G17" s="52"/>
      <c r="H17" s="81"/>
      <c r="I17" s="78"/>
      <c r="J17" s="62"/>
      <c r="K17" s="62"/>
      <c r="L17" s="78"/>
      <c r="M17" s="62"/>
      <c r="N17" s="66"/>
      <c r="O17" s="59"/>
    </row>
    <row r="18" spans="1:15" x14ac:dyDescent="0.25">
      <c r="A18" s="51"/>
      <c r="B18" s="49"/>
      <c r="C18" s="50"/>
      <c r="D18" s="51"/>
      <c r="E18" s="58"/>
      <c r="F18" s="58"/>
      <c r="G18" s="52"/>
      <c r="H18" s="81"/>
      <c r="I18" s="78"/>
      <c r="J18" s="62"/>
      <c r="K18" s="62"/>
      <c r="L18" s="78"/>
      <c r="M18" s="62"/>
      <c r="N18" s="66"/>
      <c r="O18" s="59"/>
    </row>
  </sheetData>
  <pageMargins left="0.75" right="0.75" top="1" bottom="1" header="0.5" footer="0.5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91C186B-296F-4FE7-B127-FCD112796DD2}">
          <x14:formula1>
            <xm:f>Pivot!$A$2:$A$4</xm:f>
          </x14:formula1>
          <xm:sqref>B3</xm:sqref>
        </x14:dataValidation>
        <x14:dataValidation type="list" allowBlank="1" showInputMessage="1" showErrorMessage="1" xr:uid="{3296C87A-0D3C-4260-983B-35E1B3B084AA}">
          <x14:formula1>
            <xm:f>Pivot!$B$2:$B$4</xm:f>
          </x14:formula1>
          <xm:sqref>B4</xm:sqref>
        </x14:dataValidation>
        <x14:dataValidation type="list" allowBlank="1" showInputMessage="1" showErrorMessage="1" xr:uid="{828D5B4C-EAB0-4386-A89C-D0F4D0A458AE}">
          <x14:formula1>
            <xm:f>Pivot!$F$2:$F$7</xm:f>
          </x14:formula1>
          <xm:sqref>D6</xm:sqref>
        </x14:dataValidation>
        <x14:dataValidation type="list" allowBlank="1" showInputMessage="1" showErrorMessage="1" xr:uid="{1F20F9F2-AC09-4F60-973C-1CF31346E7DC}">
          <x14:formula1>
            <xm:f>Pivot!$D$2:$D$6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9F90C-1FF9-4A41-ADCC-83F13BB59F99}">
  <dimension ref="A1"/>
  <sheetViews>
    <sheetView workbookViewId="0">
      <selection activeCell="F22" sqref="F22"/>
    </sheetView>
  </sheetViews>
  <sheetFormatPr defaultRowHeight="15.75" x14ac:dyDescent="0.25"/>
  <cols>
    <col min="4" max="4" width="10.37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13F29-7EE9-4ECD-85A3-F8442264B7E8}">
  <dimension ref="A1"/>
  <sheetViews>
    <sheetView workbookViewId="0">
      <selection activeCell="H23" sqref="H23"/>
    </sheetView>
  </sheetViews>
  <sheetFormatPr defaultRowHeight="15.7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57393-F5E6-469D-AB33-E7274BF0536A}">
  <dimension ref="A1:K6"/>
  <sheetViews>
    <sheetView workbookViewId="0">
      <selection activeCell="D11" sqref="D11"/>
    </sheetView>
  </sheetViews>
  <sheetFormatPr defaultRowHeight="15.75" x14ac:dyDescent="0.25"/>
  <cols>
    <col min="2" max="2" width="11.25" bestFit="1" customWidth="1"/>
    <col min="4" max="4" width="11.25" customWidth="1"/>
    <col min="5" max="5" width="25.5" bestFit="1" customWidth="1"/>
  </cols>
  <sheetData>
    <row r="1" spans="1:11" ht="31.5" x14ac:dyDescent="0.25">
      <c r="A1" s="99" t="s">
        <v>25</v>
      </c>
      <c r="B1" s="99" t="s">
        <v>31</v>
      </c>
      <c r="C1" s="99" t="s">
        <v>127</v>
      </c>
      <c r="D1" s="99" t="s">
        <v>126</v>
      </c>
      <c r="E1" s="99" t="s">
        <v>125</v>
      </c>
      <c r="F1" s="99" t="s">
        <v>129</v>
      </c>
      <c r="G1" s="99"/>
      <c r="H1" s="99" t="s">
        <v>135</v>
      </c>
      <c r="I1" s="99" t="s">
        <v>134</v>
      </c>
      <c r="J1" s="99"/>
      <c r="K1" s="99"/>
    </row>
    <row r="2" spans="1:11" x14ac:dyDescent="0.25">
      <c r="A2" t="s">
        <v>26</v>
      </c>
      <c r="B2" t="s">
        <v>28</v>
      </c>
      <c r="C2" t="s">
        <v>34</v>
      </c>
      <c r="D2" t="s">
        <v>124</v>
      </c>
      <c r="E2" s="106" t="s">
        <v>117</v>
      </c>
      <c r="F2" s="108" t="s">
        <v>32</v>
      </c>
    </row>
    <row r="3" spans="1:11" x14ac:dyDescent="0.25">
      <c r="A3" t="s">
        <v>27</v>
      </c>
      <c r="B3" t="s">
        <v>29</v>
      </c>
      <c r="C3" t="s">
        <v>37</v>
      </c>
      <c r="D3" t="s">
        <v>137</v>
      </c>
      <c r="F3" s="108" t="s">
        <v>130</v>
      </c>
    </row>
    <row r="4" spans="1:11" x14ac:dyDescent="0.25">
      <c r="B4" t="s">
        <v>30</v>
      </c>
      <c r="C4" t="s">
        <v>35</v>
      </c>
      <c r="F4" s="108" t="s">
        <v>131</v>
      </c>
    </row>
    <row r="5" spans="1:11" x14ac:dyDescent="0.25">
      <c r="D5" t="s">
        <v>133</v>
      </c>
      <c r="F5" s="108" t="s">
        <v>132</v>
      </c>
    </row>
    <row r="6" spans="1:11" x14ac:dyDescent="0.25">
      <c r="F6" s="108" t="s">
        <v>133</v>
      </c>
    </row>
  </sheetData>
  <hyperlinks>
    <hyperlink ref="E2" r:id="rId1" xr:uid="{EA189156-3B18-413A-8224-7DDBA1613026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3B786-2EF3-4277-848C-CFFD02D75104}">
  <dimension ref="A1:J35"/>
  <sheetViews>
    <sheetView topLeftCell="A10" workbookViewId="0">
      <selection activeCell="B3" sqref="B3"/>
    </sheetView>
  </sheetViews>
  <sheetFormatPr defaultRowHeight="15.75" x14ac:dyDescent="0.25"/>
  <cols>
    <col min="1" max="1" width="15.5" bestFit="1" customWidth="1"/>
    <col min="2" max="2" width="45" bestFit="1" customWidth="1"/>
    <col min="3" max="3" width="19.375" bestFit="1" customWidth="1"/>
    <col min="4" max="4" width="12.625" customWidth="1"/>
    <col min="5" max="5" width="11.625" bestFit="1" customWidth="1"/>
  </cols>
  <sheetData>
    <row r="1" spans="1:10" x14ac:dyDescent="0.25">
      <c r="A1" s="100" t="s">
        <v>108</v>
      </c>
      <c r="B1" s="101" t="s">
        <v>109</v>
      </c>
      <c r="C1" s="101" t="s">
        <v>73</v>
      </c>
      <c r="D1" s="101" t="s">
        <v>74</v>
      </c>
      <c r="E1" s="101" t="s">
        <v>110</v>
      </c>
      <c r="F1" s="101"/>
      <c r="G1" s="101"/>
      <c r="H1" s="99"/>
      <c r="I1" s="99"/>
      <c r="J1" s="99"/>
    </row>
    <row r="2" spans="1:10" x14ac:dyDescent="0.25">
      <c r="A2" t="s">
        <v>106</v>
      </c>
      <c r="B2" t="s">
        <v>2</v>
      </c>
      <c r="C2" t="s">
        <v>2</v>
      </c>
      <c r="D2" t="s">
        <v>76</v>
      </c>
    </row>
    <row r="3" spans="1:10" x14ac:dyDescent="0.25">
      <c r="A3" t="s">
        <v>106</v>
      </c>
      <c r="B3" t="s">
        <v>0</v>
      </c>
      <c r="C3" t="s">
        <v>75</v>
      </c>
      <c r="D3" t="s">
        <v>76</v>
      </c>
      <c r="E3" t="s">
        <v>111</v>
      </c>
    </row>
    <row r="4" spans="1:10" x14ac:dyDescent="0.25">
      <c r="A4" t="s">
        <v>106</v>
      </c>
      <c r="B4" t="s">
        <v>45</v>
      </c>
      <c r="C4" t="s">
        <v>4</v>
      </c>
      <c r="D4" t="s">
        <v>76</v>
      </c>
      <c r="E4" t="s">
        <v>111</v>
      </c>
    </row>
    <row r="5" spans="1:10" x14ac:dyDescent="0.25">
      <c r="A5" t="s">
        <v>106</v>
      </c>
      <c r="B5" t="s">
        <v>9</v>
      </c>
      <c r="C5" t="s">
        <v>9</v>
      </c>
      <c r="D5" t="s">
        <v>76</v>
      </c>
    </row>
    <row r="6" spans="1:10" x14ac:dyDescent="0.25">
      <c r="A6" t="s">
        <v>106</v>
      </c>
      <c r="B6" t="s">
        <v>5</v>
      </c>
      <c r="C6" t="s">
        <v>77</v>
      </c>
      <c r="D6" t="s">
        <v>76</v>
      </c>
    </row>
    <row r="7" spans="1:10" x14ac:dyDescent="0.25">
      <c r="A7" t="s">
        <v>106</v>
      </c>
      <c r="B7" t="s">
        <v>6</v>
      </c>
      <c r="C7" t="s">
        <v>78</v>
      </c>
      <c r="D7" t="s">
        <v>76</v>
      </c>
    </row>
    <row r="8" spans="1:10" x14ac:dyDescent="0.25">
      <c r="A8" t="s">
        <v>106</v>
      </c>
      <c r="B8" t="s">
        <v>11</v>
      </c>
      <c r="C8" t="s">
        <v>79</v>
      </c>
      <c r="D8" t="s">
        <v>80</v>
      </c>
    </row>
    <row r="9" spans="1:10" x14ac:dyDescent="0.25">
      <c r="A9" t="s">
        <v>106</v>
      </c>
      <c r="B9" t="s">
        <v>12</v>
      </c>
      <c r="C9" t="s">
        <v>81</v>
      </c>
      <c r="D9" t="s">
        <v>82</v>
      </c>
    </row>
    <row r="10" spans="1:10" x14ac:dyDescent="0.25">
      <c r="A10" t="s">
        <v>106</v>
      </c>
      <c r="B10" t="s">
        <v>66</v>
      </c>
      <c r="C10" t="s">
        <v>83</v>
      </c>
      <c r="D10" t="s">
        <v>76</v>
      </c>
    </row>
    <row r="11" spans="1:10" x14ac:dyDescent="0.25">
      <c r="A11" t="s">
        <v>106</v>
      </c>
      <c r="B11" t="s">
        <v>67</v>
      </c>
      <c r="C11" t="s">
        <v>84</v>
      </c>
      <c r="D11" t="s">
        <v>80</v>
      </c>
    </row>
    <row r="12" spans="1:10" x14ac:dyDescent="0.25">
      <c r="A12" t="s">
        <v>106</v>
      </c>
      <c r="B12" t="s">
        <v>18</v>
      </c>
      <c r="C12" t="s">
        <v>85</v>
      </c>
      <c r="D12" t="s">
        <v>76</v>
      </c>
      <c r="E12" t="s">
        <v>111</v>
      </c>
    </row>
    <row r="13" spans="1:10" x14ac:dyDescent="0.25">
      <c r="A13" t="s">
        <v>106</v>
      </c>
      <c r="B13" t="s">
        <v>36</v>
      </c>
      <c r="C13" t="s">
        <v>88</v>
      </c>
      <c r="D13" t="s">
        <v>76</v>
      </c>
    </row>
    <row r="14" spans="1:10" x14ac:dyDescent="0.25">
      <c r="A14" t="s">
        <v>106</v>
      </c>
      <c r="B14" t="s">
        <v>59</v>
      </c>
      <c r="C14" t="s">
        <v>86</v>
      </c>
      <c r="D14" t="s">
        <v>76</v>
      </c>
    </row>
    <row r="15" spans="1:10" x14ac:dyDescent="0.25">
      <c r="A15" t="s">
        <v>106</v>
      </c>
      <c r="B15" t="s">
        <v>19</v>
      </c>
      <c r="C15" t="s">
        <v>89</v>
      </c>
      <c r="D15" t="s">
        <v>82</v>
      </c>
    </row>
    <row r="16" spans="1:10" x14ac:dyDescent="0.25">
      <c r="A16" t="s">
        <v>106</v>
      </c>
      <c r="B16" t="s">
        <v>126</v>
      </c>
      <c r="C16" t="s">
        <v>136</v>
      </c>
      <c r="D16" t="s">
        <v>76</v>
      </c>
    </row>
    <row r="17" spans="1:5" x14ac:dyDescent="0.25">
      <c r="A17" t="s">
        <v>106</v>
      </c>
      <c r="B17" t="s">
        <v>58</v>
      </c>
      <c r="C17" t="s">
        <v>87</v>
      </c>
      <c r="D17" t="s">
        <v>76</v>
      </c>
      <c r="E17" t="s">
        <v>111</v>
      </c>
    </row>
    <row r="18" spans="1:5" x14ac:dyDescent="0.25">
      <c r="A18" t="s">
        <v>106</v>
      </c>
      <c r="B18" t="s">
        <v>68</v>
      </c>
      <c r="C18" t="s">
        <v>90</v>
      </c>
      <c r="D18" t="s">
        <v>82</v>
      </c>
    </row>
    <row r="19" spans="1:5" x14ac:dyDescent="0.25">
      <c r="A19" t="s">
        <v>106</v>
      </c>
      <c r="B19" t="s">
        <v>51</v>
      </c>
      <c r="C19" t="s">
        <v>91</v>
      </c>
      <c r="D19" t="s">
        <v>82</v>
      </c>
    </row>
    <row r="20" spans="1:5" x14ac:dyDescent="0.25">
      <c r="A20" t="s">
        <v>106</v>
      </c>
      <c r="B20" t="s">
        <v>54</v>
      </c>
      <c r="C20" t="s">
        <v>92</v>
      </c>
      <c r="D20" t="s">
        <v>82</v>
      </c>
    </row>
    <row r="21" spans="1:5" x14ac:dyDescent="0.25">
      <c r="A21" t="s">
        <v>106</v>
      </c>
      <c r="B21" t="s">
        <v>56</v>
      </c>
      <c r="C21" t="s">
        <v>93</v>
      </c>
      <c r="D21" t="s">
        <v>76</v>
      </c>
      <c r="E21" t="s">
        <v>111</v>
      </c>
    </row>
    <row r="22" spans="1:5" x14ac:dyDescent="0.25">
      <c r="A22" t="s">
        <v>106</v>
      </c>
      <c r="B22" t="s">
        <v>55</v>
      </c>
      <c r="C22" t="s">
        <v>94</v>
      </c>
      <c r="D22" t="s">
        <v>76</v>
      </c>
    </row>
    <row r="23" spans="1:5" x14ac:dyDescent="0.25">
      <c r="A23" t="s">
        <v>106</v>
      </c>
      <c r="B23" t="s">
        <v>69</v>
      </c>
      <c r="C23" t="s">
        <v>95</v>
      </c>
      <c r="D23" t="s">
        <v>82</v>
      </c>
    </row>
    <row r="24" spans="1:5" x14ac:dyDescent="0.25">
      <c r="A24" t="s">
        <v>106</v>
      </c>
      <c r="B24" t="s">
        <v>70</v>
      </c>
      <c r="C24" t="s">
        <v>96</v>
      </c>
      <c r="D24" t="s">
        <v>80</v>
      </c>
    </row>
    <row r="25" spans="1:5" x14ac:dyDescent="0.25">
      <c r="A25" t="s">
        <v>106</v>
      </c>
      <c r="B25" t="s">
        <v>63</v>
      </c>
      <c r="C25" t="s">
        <v>113</v>
      </c>
      <c r="D25" t="s">
        <v>82</v>
      </c>
    </row>
    <row r="26" spans="1:5" x14ac:dyDescent="0.25">
      <c r="A26" t="s">
        <v>106</v>
      </c>
      <c r="B26" t="s">
        <v>71</v>
      </c>
      <c r="C26" t="s">
        <v>97</v>
      </c>
      <c r="D26" t="s">
        <v>76</v>
      </c>
    </row>
    <row r="27" spans="1:5" x14ac:dyDescent="0.25">
      <c r="A27" t="s">
        <v>106</v>
      </c>
      <c r="B27" t="s">
        <v>72</v>
      </c>
      <c r="C27" t="s">
        <v>98</v>
      </c>
      <c r="D27" t="s">
        <v>76</v>
      </c>
    </row>
    <row r="28" spans="1:5" x14ac:dyDescent="0.25">
      <c r="A28" t="s">
        <v>107</v>
      </c>
      <c r="B28" t="s">
        <v>49</v>
      </c>
      <c r="C28" t="s">
        <v>99</v>
      </c>
      <c r="D28" t="s">
        <v>80</v>
      </c>
    </row>
    <row r="29" spans="1:5" x14ac:dyDescent="0.25">
      <c r="A29" t="s">
        <v>107</v>
      </c>
      <c r="B29" t="s">
        <v>47</v>
      </c>
      <c r="C29" t="s">
        <v>100</v>
      </c>
      <c r="D29" t="s">
        <v>82</v>
      </c>
    </row>
    <row r="30" spans="1:5" x14ac:dyDescent="0.25">
      <c r="A30" t="s">
        <v>107</v>
      </c>
      <c r="B30" t="s">
        <v>48</v>
      </c>
      <c r="C30" t="s">
        <v>101</v>
      </c>
      <c r="D30" t="s">
        <v>82</v>
      </c>
    </row>
    <row r="31" spans="1:5" x14ac:dyDescent="0.25">
      <c r="A31" t="s">
        <v>107</v>
      </c>
      <c r="B31" t="s">
        <v>52</v>
      </c>
      <c r="C31" t="s">
        <v>105</v>
      </c>
      <c r="D31" t="s">
        <v>82</v>
      </c>
    </row>
    <row r="32" spans="1:5" x14ac:dyDescent="0.25">
      <c r="A32" t="s">
        <v>107</v>
      </c>
      <c r="B32" t="s">
        <v>50</v>
      </c>
      <c r="C32" t="s">
        <v>102</v>
      </c>
      <c r="D32" t="s">
        <v>82</v>
      </c>
    </row>
    <row r="33" spans="1:5" x14ac:dyDescent="0.25">
      <c r="A33" t="s">
        <v>107</v>
      </c>
      <c r="B33" t="s">
        <v>53</v>
      </c>
      <c r="C33" t="s">
        <v>103</v>
      </c>
      <c r="D33" t="s">
        <v>82</v>
      </c>
    </row>
    <row r="34" spans="1:5" x14ac:dyDescent="0.25">
      <c r="A34" t="s">
        <v>107</v>
      </c>
      <c r="B34" t="s">
        <v>20</v>
      </c>
      <c r="C34" t="s">
        <v>104</v>
      </c>
      <c r="D34" t="s">
        <v>82</v>
      </c>
    </row>
    <row r="35" spans="1:5" x14ac:dyDescent="0.25">
      <c r="A35" t="s">
        <v>107</v>
      </c>
      <c r="B35" t="s">
        <v>3</v>
      </c>
      <c r="C35" t="s">
        <v>3</v>
      </c>
      <c r="D35" t="s">
        <v>76</v>
      </c>
      <c r="E35" t="s">
        <v>112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2064B-0866-413A-BBA9-97E563067336}">
  <dimension ref="A1:H1"/>
  <sheetViews>
    <sheetView tabSelected="1" workbookViewId="0">
      <selection activeCell="G17" sqref="G17"/>
    </sheetView>
  </sheetViews>
  <sheetFormatPr defaultRowHeight="15.75" x14ac:dyDescent="0.25"/>
  <cols>
    <col min="6" max="6" width="11.75" customWidth="1"/>
  </cols>
  <sheetData>
    <row r="1" spans="1:8" ht="31.5" x14ac:dyDescent="0.25">
      <c r="A1" s="99" t="s">
        <v>29</v>
      </c>
      <c r="B1" s="99" t="s">
        <v>45</v>
      </c>
      <c r="C1" s="99" t="s">
        <v>33</v>
      </c>
      <c r="D1" s="99" t="s">
        <v>85</v>
      </c>
      <c r="E1" s="99" t="s">
        <v>36</v>
      </c>
      <c r="F1" s="99" t="s">
        <v>126</v>
      </c>
      <c r="G1" s="99"/>
      <c r="H1" s="9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Project_BaseData</vt:lpstr>
      <vt:lpstr>Project_Progress</vt:lpstr>
      <vt:lpstr>Dashboard</vt:lpstr>
      <vt:lpstr>Gantt_Chart</vt:lpstr>
      <vt:lpstr>Pivot</vt:lpstr>
      <vt:lpstr>HandShake</vt:lpstr>
      <vt:lpstr>DB_Pivot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Chava Vargas Ortega</cp:lastModifiedBy>
  <dcterms:created xsi:type="dcterms:W3CDTF">2015-01-25T11:31:25Z</dcterms:created>
  <dcterms:modified xsi:type="dcterms:W3CDTF">2022-09-11T03:46:50Z</dcterms:modified>
</cp:coreProperties>
</file>